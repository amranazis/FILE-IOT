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halo-2026\filemonitoring\"/>
    </mc:Choice>
  </mc:AlternateContent>
  <xr:revisionPtr revIDLastSave="0" documentId="13_ncr:1_{EE9C6F53-DCDE-42AC-B8C3-1AAD04DE2340}" xr6:coauthVersionLast="47" xr6:coauthVersionMax="47" xr10:uidLastSave="{00000000-0000-0000-0000-000000000000}"/>
  <bookViews>
    <workbookView xWindow="-108" yWindow="-108" windowWidth="23256" windowHeight="13176" xr2:uid="{CB0DD583-D7CF-4B2F-A120-9BEFC6B01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" i="1" l="1"/>
  <c r="V11" i="1"/>
  <c r="W7" i="1"/>
  <c r="X7" i="1" s="1"/>
  <c r="V7" i="1"/>
  <c r="U7" i="1"/>
  <c r="T7" i="1"/>
  <c r="S7" i="1"/>
  <c r="K38" i="1"/>
  <c r="C42" i="1"/>
  <c r="C41" i="1"/>
  <c r="K30" i="1"/>
  <c r="K31" i="1"/>
  <c r="K32" i="1"/>
  <c r="K33" i="1"/>
  <c r="K34" i="1"/>
  <c r="K35" i="1"/>
  <c r="K36" i="1"/>
  <c r="K37" i="1"/>
  <c r="J32" i="1"/>
  <c r="J33" i="1"/>
  <c r="J34" i="1"/>
  <c r="J35" i="1"/>
  <c r="J36" i="1"/>
  <c r="J37" i="1"/>
  <c r="J38" i="1"/>
  <c r="J31" i="1"/>
  <c r="J30" i="1"/>
  <c r="E31" i="1"/>
  <c r="E32" i="1"/>
  <c r="E33" i="1"/>
  <c r="E34" i="1"/>
  <c r="E35" i="1"/>
  <c r="E36" i="1"/>
  <c r="E37" i="1"/>
  <c r="E38" i="1"/>
  <c r="E30" i="1"/>
  <c r="D31" i="1"/>
  <c r="D32" i="1"/>
  <c r="D33" i="1"/>
  <c r="D34" i="1"/>
  <c r="D35" i="1"/>
  <c r="D36" i="1"/>
  <c r="D37" i="1"/>
  <c r="D38" i="1"/>
  <c r="D30" i="1"/>
  <c r="K14" i="1"/>
  <c r="K15" i="1"/>
  <c r="K16" i="1"/>
  <c r="K17" i="1"/>
  <c r="K18" i="1"/>
  <c r="K19" i="1"/>
  <c r="K20" i="1"/>
  <c r="K21" i="1"/>
  <c r="K22" i="1"/>
  <c r="I25" i="1" s="1"/>
  <c r="K13" i="1"/>
  <c r="J13" i="1"/>
  <c r="J15" i="1"/>
  <c r="J16" i="1"/>
  <c r="J17" i="1"/>
  <c r="J18" i="1"/>
  <c r="J19" i="1"/>
  <c r="J20" i="1"/>
  <c r="J21" i="1"/>
  <c r="J22" i="1"/>
  <c r="J14" i="1"/>
  <c r="D14" i="1"/>
  <c r="D13" i="1"/>
  <c r="E13" i="1"/>
  <c r="E14" i="1"/>
  <c r="E15" i="1"/>
  <c r="E16" i="1"/>
  <c r="E17" i="1"/>
  <c r="E18" i="1"/>
  <c r="E19" i="1"/>
  <c r="E20" i="1"/>
  <c r="E21" i="1"/>
  <c r="E22" i="1"/>
  <c r="D15" i="1"/>
  <c r="D16" i="1"/>
  <c r="D17" i="1"/>
  <c r="D18" i="1"/>
  <c r="D19" i="1"/>
  <c r="D20" i="1"/>
  <c r="D21" i="1"/>
  <c r="D22" i="1"/>
  <c r="K9" i="1"/>
  <c r="I9" i="1"/>
  <c r="B9" i="1"/>
  <c r="A9" i="1"/>
  <c r="I41" i="1" l="1"/>
  <c r="I42" i="1"/>
  <c r="I24" i="1"/>
  <c r="C25" i="1"/>
  <c r="C24" i="1"/>
</calcChain>
</file>

<file path=xl/sharedStrings.xml><?xml version="1.0" encoding="utf-8"?>
<sst xmlns="http://schemas.openxmlformats.org/spreadsheetml/2006/main" count="48" uniqueCount="32">
  <si>
    <t>ph 4</t>
  </si>
  <si>
    <t>ph 6</t>
  </si>
  <si>
    <t xml:space="preserve">RATA - RATA </t>
  </si>
  <si>
    <t>kelembapan</t>
  </si>
  <si>
    <t>alat</t>
  </si>
  <si>
    <t>ph web</t>
  </si>
  <si>
    <t>objek 1</t>
  </si>
  <si>
    <t>ph alat</t>
  </si>
  <si>
    <t>mois web</t>
  </si>
  <si>
    <t>mois alat</t>
  </si>
  <si>
    <t>setengah</t>
  </si>
  <si>
    <t>lembab = 90</t>
  </si>
  <si>
    <t>kering = 0,1</t>
  </si>
  <si>
    <t>ds</t>
  </si>
  <si>
    <t>eror</t>
  </si>
  <si>
    <t>ape%</t>
  </si>
  <si>
    <t>MAPE</t>
  </si>
  <si>
    <t>AKURASI</t>
  </si>
  <si>
    <t>Oobjek 1</t>
  </si>
  <si>
    <t>objek II</t>
  </si>
  <si>
    <t>kelembapan tanah 90-93%</t>
  </si>
  <si>
    <t xml:space="preserve">  </t>
  </si>
  <si>
    <t>kelembapan tanah 22-34%</t>
  </si>
  <si>
    <t>ph6</t>
  </si>
  <si>
    <t>ph4</t>
  </si>
  <si>
    <t>tegangan ph6</t>
  </si>
  <si>
    <t>Slope</t>
  </si>
  <si>
    <t>ofset</t>
  </si>
  <si>
    <t>ambil disini untuk menentukan slope dan ofset</t>
  </si>
  <si>
    <t>validasi PH 4</t>
  </si>
  <si>
    <t>validasi PH6</t>
  </si>
  <si>
    <t>teg ph4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</si>
</sst>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DA3E-7B38-4BA0-BA0A-EBDC82468569}">
  <dimension ref="A1:X42"/>
  <sheetViews>
    <sheetView tabSelected="1" zoomScale="80" workbookViewId="0">
      <selection activeCell="T14" sqref="T14"/>
    </sheetView>
  </sheetViews>
  <sheetFormatPr defaultRowHeight="14.4" x14ac:dyDescent="0.3"/>
  <cols>
    <col min="1" max="1" width="13" customWidth="1"/>
    <col min="2" max="2" width="12.5546875" customWidth="1"/>
    <col min="8" max="8" width="9" customWidth="1"/>
    <col min="11" max="11" width="8.6640625" customWidth="1"/>
    <col min="20" max="20" width="11.5546875" customWidth="1"/>
    <col min="21" max="21" width="14.6640625" customWidth="1"/>
    <col min="22" max="22" width="10.6640625" customWidth="1"/>
    <col min="23" max="23" width="10.5546875" customWidth="1"/>
  </cols>
  <sheetData>
    <row r="1" spans="1:24" x14ac:dyDescent="0.3">
      <c r="A1" s="2" t="s">
        <v>1</v>
      </c>
      <c r="B1" s="2" t="s">
        <v>0</v>
      </c>
      <c r="I1" s="4" t="s">
        <v>3</v>
      </c>
      <c r="J1" s="4"/>
      <c r="K1" s="4"/>
      <c r="N1" s="4"/>
      <c r="O1" s="4"/>
    </row>
    <row r="2" spans="1:24" x14ac:dyDescent="0.3">
      <c r="A2">
        <v>187</v>
      </c>
      <c r="B2">
        <v>448</v>
      </c>
      <c r="H2" s="4" t="s">
        <v>12</v>
      </c>
      <c r="I2" s="4"/>
      <c r="J2" s="2" t="s">
        <v>4</v>
      </c>
      <c r="K2" s="4" t="s">
        <v>11</v>
      </c>
      <c r="L2" s="4"/>
      <c r="M2" s="2" t="s">
        <v>10</v>
      </c>
    </row>
    <row r="3" spans="1:24" x14ac:dyDescent="0.3">
      <c r="A3">
        <v>217</v>
      </c>
      <c r="B3">
        <v>421</v>
      </c>
      <c r="E3">
        <v>1</v>
      </c>
      <c r="I3">
        <v>2693</v>
      </c>
      <c r="K3">
        <v>1157</v>
      </c>
    </row>
    <row r="4" spans="1:24" x14ac:dyDescent="0.3">
      <c r="A4">
        <v>222</v>
      </c>
      <c r="B4">
        <v>447</v>
      </c>
      <c r="E4">
        <v>2</v>
      </c>
      <c r="I4">
        <v>2680</v>
      </c>
      <c r="K4">
        <v>1152</v>
      </c>
      <c r="Q4" s="7" t="s">
        <v>13</v>
      </c>
    </row>
    <row r="5" spans="1:24" x14ac:dyDescent="0.3">
      <c r="A5">
        <v>223</v>
      </c>
      <c r="B5">
        <v>457</v>
      </c>
      <c r="E5">
        <v>3</v>
      </c>
      <c r="I5">
        <v>2686</v>
      </c>
      <c r="K5">
        <v>1076</v>
      </c>
      <c r="Q5" s="8"/>
      <c r="S5" t="s">
        <v>28</v>
      </c>
    </row>
    <row r="6" spans="1:24" x14ac:dyDescent="0.3">
      <c r="A6">
        <v>218</v>
      </c>
      <c r="B6">
        <v>432</v>
      </c>
      <c r="E6">
        <v>4</v>
      </c>
      <c r="I6">
        <v>2676</v>
      </c>
      <c r="K6">
        <v>1086</v>
      </c>
      <c r="S6" t="s">
        <v>23</v>
      </c>
      <c r="T6" t="s">
        <v>24</v>
      </c>
      <c r="U6" t="s">
        <v>25</v>
      </c>
      <c r="V6" t="s">
        <v>31</v>
      </c>
      <c r="W6" t="s">
        <v>26</v>
      </c>
      <c r="X6" t="s">
        <v>27</v>
      </c>
    </row>
    <row r="7" spans="1:24" x14ac:dyDescent="0.3">
      <c r="A7">
        <v>112</v>
      </c>
      <c r="B7">
        <v>422</v>
      </c>
      <c r="E7">
        <v>5</v>
      </c>
      <c r="I7">
        <v>2673</v>
      </c>
      <c r="K7">
        <v>1066</v>
      </c>
      <c r="S7">
        <f>MEDIAN(A2:A7)</f>
        <v>217.5</v>
      </c>
      <c r="T7">
        <f>MEDIAN(B2:B7)</f>
        <v>439.5</v>
      </c>
      <c r="U7">
        <f>S7*3.3/4095</f>
        <v>0.17527472527472526</v>
      </c>
      <c r="V7">
        <f>T7*3.3/4095</f>
        <v>0.35417582417582416</v>
      </c>
      <c r="W7">
        <f>(6-4)/(U7-V7)</f>
        <v>-11.17936117936118</v>
      </c>
      <c r="X7">
        <f>6-(W7*U7)</f>
        <v>7.9594594594594597</v>
      </c>
    </row>
    <row r="9" spans="1:24" x14ac:dyDescent="0.3">
      <c r="A9">
        <f>AVERAGE(A2:A7)</f>
        <v>196.5</v>
      </c>
      <c r="B9" s="1">
        <f>AVERAGE(B2:B7)</f>
        <v>437.83333333333331</v>
      </c>
      <c r="C9" t="s">
        <v>2</v>
      </c>
      <c r="I9">
        <f>AVERAGE(I3:I7)</f>
        <v>2681.6</v>
      </c>
      <c r="K9">
        <f>AVERAGE(K3:K7)</f>
        <v>1107.4000000000001</v>
      </c>
    </row>
    <row r="10" spans="1:24" x14ac:dyDescent="0.3">
      <c r="K10">
        <v>1098</v>
      </c>
    </row>
    <row r="11" spans="1:24" x14ac:dyDescent="0.3">
      <c r="I11" s="3"/>
      <c r="L11" s="5" t="s">
        <v>20</v>
      </c>
      <c r="U11" t="s">
        <v>29</v>
      </c>
      <c r="V11">
        <f>W7*V7+X7</f>
        <v>4</v>
      </c>
    </row>
    <row r="12" spans="1:24" x14ac:dyDescent="0.3">
      <c r="B12" t="s">
        <v>5</v>
      </c>
      <c r="C12" t="s">
        <v>7</v>
      </c>
      <c r="D12" t="s">
        <v>14</v>
      </c>
      <c r="E12" t="s">
        <v>15</v>
      </c>
      <c r="G12" s="3"/>
      <c r="H12" t="s">
        <v>8</v>
      </c>
      <c r="I12" t="s">
        <v>9</v>
      </c>
      <c r="J12" t="s">
        <v>14</v>
      </c>
      <c r="K12" t="s">
        <v>15</v>
      </c>
      <c r="L12" s="5"/>
      <c r="U12" t="s">
        <v>30</v>
      </c>
      <c r="V12">
        <f>W7*U7+X7</f>
        <v>6</v>
      </c>
    </row>
    <row r="13" spans="1:24" x14ac:dyDescent="0.3">
      <c r="A13" s="5" t="s">
        <v>6</v>
      </c>
      <c r="B13">
        <v>6.8</v>
      </c>
      <c r="C13">
        <v>6.7</v>
      </c>
      <c r="D13">
        <f>ABS(B13-C13)</f>
        <v>9.9999999999999645E-2</v>
      </c>
      <c r="E13" s="1">
        <f>ABS((B13-C13)/C13)*100</f>
        <v>1.4925373134328304</v>
      </c>
      <c r="F13" s="1"/>
      <c r="G13" s="5" t="s">
        <v>18</v>
      </c>
      <c r="H13">
        <v>90</v>
      </c>
      <c r="I13">
        <v>90</v>
      </c>
      <c r="J13">
        <f>ABS(H13-I13)</f>
        <v>0</v>
      </c>
      <c r="K13" s="1">
        <f>ABS((H13-I13)/I13)*100</f>
        <v>0</v>
      </c>
      <c r="L13" s="5"/>
    </row>
    <row r="14" spans="1:24" x14ac:dyDescent="0.3">
      <c r="A14" s="5"/>
      <c r="B14">
        <v>6.2</v>
      </c>
      <c r="C14">
        <v>6.4</v>
      </c>
      <c r="D14">
        <f>ABS(B14-C14)</f>
        <v>0.20000000000000018</v>
      </c>
      <c r="E14" s="1">
        <f t="shared" ref="E14:E22" si="0">ABS((B14-C14)/C14)*100</f>
        <v>3.1250000000000027</v>
      </c>
      <c r="G14" s="5"/>
      <c r="H14">
        <v>91</v>
      </c>
      <c r="I14">
        <v>90</v>
      </c>
      <c r="J14">
        <f>ABS(H14-I14)</f>
        <v>1</v>
      </c>
      <c r="K14" s="1">
        <f t="shared" ref="K14:K22" si="1">ABS((H14-I14)/I14)*100</f>
        <v>1.1111111111111112</v>
      </c>
      <c r="L14" s="5"/>
    </row>
    <row r="15" spans="1:24" x14ac:dyDescent="0.3">
      <c r="A15" s="5"/>
      <c r="B15">
        <v>6.9</v>
      </c>
      <c r="C15">
        <v>6.8</v>
      </c>
      <c r="D15">
        <f t="shared" ref="D15:D22" si="2">ABS(B15-C15)</f>
        <v>0.10000000000000053</v>
      </c>
      <c r="E15" s="1">
        <f t="shared" si="0"/>
        <v>1.4705882352941255</v>
      </c>
      <c r="G15" s="5"/>
      <c r="H15">
        <v>90</v>
      </c>
      <c r="I15">
        <v>92</v>
      </c>
      <c r="J15">
        <f t="shared" ref="J15:J22" si="3">ABS(H15-I15)</f>
        <v>2</v>
      </c>
      <c r="K15" s="1">
        <f t="shared" si="1"/>
        <v>2.1739130434782608</v>
      </c>
      <c r="L15" s="5"/>
    </row>
    <row r="16" spans="1:24" x14ac:dyDescent="0.3">
      <c r="A16" s="5"/>
      <c r="B16">
        <v>6.4</v>
      </c>
      <c r="C16">
        <v>6.6</v>
      </c>
      <c r="D16">
        <f t="shared" si="2"/>
        <v>0.19999999999999929</v>
      </c>
      <c r="E16" s="1">
        <f t="shared" si="0"/>
        <v>3.0303030303030196</v>
      </c>
      <c r="G16" s="5"/>
      <c r="H16">
        <v>93</v>
      </c>
      <c r="I16">
        <v>91</v>
      </c>
      <c r="J16">
        <f t="shared" si="3"/>
        <v>2</v>
      </c>
      <c r="K16" s="1">
        <f t="shared" si="1"/>
        <v>2.197802197802198</v>
      </c>
      <c r="L16" s="5"/>
    </row>
    <row r="17" spans="1:12" x14ac:dyDescent="0.3">
      <c r="A17" s="5"/>
      <c r="B17">
        <v>7.1</v>
      </c>
      <c r="C17">
        <v>7.1</v>
      </c>
      <c r="D17">
        <f t="shared" si="2"/>
        <v>0</v>
      </c>
      <c r="E17" s="1">
        <f t="shared" si="0"/>
        <v>0</v>
      </c>
      <c r="G17" s="5"/>
      <c r="H17">
        <v>92</v>
      </c>
      <c r="I17">
        <v>90</v>
      </c>
      <c r="J17">
        <f t="shared" si="3"/>
        <v>2</v>
      </c>
      <c r="K17" s="1">
        <f t="shared" si="1"/>
        <v>2.2222222222222223</v>
      </c>
      <c r="L17" s="5"/>
    </row>
    <row r="18" spans="1:12" x14ac:dyDescent="0.3">
      <c r="A18" s="5"/>
      <c r="B18">
        <v>7</v>
      </c>
      <c r="C18">
        <v>6.9</v>
      </c>
      <c r="D18">
        <f t="shared" si="2"/>
        <v>9.9999999999999645E-2</v>
      </c>
      <c r="E18" s="1">
        <f t="shared" si="0"/>
        <v>1.4492753623188355</v>
      </c>
      <c r="G18" s="5"/>
      <c r="H18">
        <v>90</v>
      </c>
      <c r="I18">
        <v>91</v>
      </c>
      <c r="J18">
        <f t="shared" si="3"/>
        <v>1</v>
      </c>
      <c r="K18" s="1">
        <f t="shared" si="1"/>
        <v>1.098901098901099</v>
      </c>
      <c r="L18" s="5"/>
    </row>
    <row r="19" spans="1:12" x14ac:dyDescent="0.3">
      <c r="A19" s="5"/>
      <c r="B19">
        <v>6.6</v>
      </c>
      <c r="C19">
        <v>6.4</v>
      </c>
      <c r="D19">
        <f t="shared" si="2"/>
        <v>0.19999999999999929</v>
      </c>
      <c r="E19" s="1">
        <f t="shared" si="0"/>
        <v>3.1249999999999889</v>
      </c>
      <c r="G19" s="5"/>
      <c r="H19">
        <v>90</v>
      </c>
      <c r="I19">
        <v>90</v>
      </c>
      <c r="J19">
        <f t="shared" si="3"/>
        <v>0</v>
      </c>
      <c r="K19" s="1">
        <f t="shared" si="1"/>
        <v>0</v>
      </c>
      <c r="L19" s="5"/>
    </row>
    <row r="20" spans="1:12" x14ac:dyDescent="0.3">
      <c r="A20" s="5"/>
      <c r="B20">
        <v>7.1</v>
      </c>
      <c r="C20">
        <v>6.9</v>
      </c>
      <c r="D20">
        <f t="shared" si="2"/>
        <v>0.19999999999999929</v>
      </c>
      <c r="E20" s="1">
        <f t="shared" si="0"/>
        <v>2.8985507246376709</v>
      </c>
      <c r="G20" s="5"/>
      <c r="H20">
        <v>91</v>
      </c>
      <c r="I20">
        <v>90</v>
      </c>
      <c r="J20">
        <f t="shared" si="3"/>
        <v>1</v>
      </c>
      <c r="K20" s="1">
        <f t="shared" si="1"/>
        <v>1.1111111111111112</v>
      </c>
      <c r="L20" s="5"/>
    </row>
    <row r="21" spans="1:12" x14ac:dyDescent="0.3">
      <c r="A21" s="5"/>
      <c r="B21">
        <v>7.2</v>
      </c>
      <c r="C21">
        <v>6.9</v>
      </c>
      <c r="D21">
        <f t="shared" si="2"/>
        <v>0.29999999999999982</v>
      </c>
      <c r="E21" s="1">
        <f t="shared" si="0"/>
        <v>4.3478260869565188</v>
      </c>
      <c r="G21" s="5"/>
      <c r="H21">
        <v>90</v>
      </c>
      <c r="I21">
        <v>90</v>
      </c>
      <c r="J21">
        <f t="shared" si="3"/>
        <v>0</v>
      </c>
      <c r="K21" s="1">
        <f t="shared" si="1"/>
        <v>0</v>
      </c>
      <c r="L21" s="5"/>
    </row>
    <row r="22" spans="1:12" x14ac:dyDescent="0.3">
      <c r="A22" s="5"/>
      <c r="B22">
        <v>7.3</v>
      </c>
      <c r="C22">
        <v>7.1</v>
      </c>
      <c r="D22">
        <f t="shared" si="2"/>
        <v>0.20000000000000018</v>
      </c>
      <c r="E22" s="1">
        <f t="shared" si="0"/>
        <v>2.8169014084507067</v>
      </c>
      <c r="G22" s="5"/>
      <c r="H22">
        <v>91</v>
      </c>
      <c r="I22">
        <v>93</v>
      </c>
      <c r="J22">
        <f t="shared" si="3"/>
        <v>2</v>
      </c>
      <c r="K22" s="1">
        <f t="shared" si="1"/>
        <v>2.1505376344086025</v>
      </c>
      <c r="L22" s="5"/>
    </row>
    <row r="23" spans="1:12" x14ac:dyDescent="0.3">
      <c r="L23" s="5"/>
    </row>
    <row r="24" spans="1:12" x14ac:dyDescent="0.3">
      <c r="B24" t="s">
        <v>16</v>
      </c>
      <c r="C24" s="1">
        <f>AVERAGE(E13:E22)</f>
        <v>2.3755982161393705</v>
      </c>
      <c r="H24" t="s">
        <v>16</v>
      </c>
      <c r="I24" s="1">
        <f>AVERAGE(K13:K22)</f>
        <v>1.2065598419034604</v>
      </c>
      <c r="L24" s="5"/>
    </row>
    <row r="25" spans="1:12" x14ac:dyDescent="0.3">
      <c r="B25" t="s">
        <v>17</v>
      </c>
      <c r="C25" s="1">
        <f>100-AVERAGE(E13:E22)</f>
        <v>97.624401783860634</v>
      </c>
      <c r="H25" t="s">
        <v>17</v>
      </c>
      <c r="I25" s="1">
        <f>100-AVERAGE(K13:K22)</f>
        <v>98.793440158096544</v>
      </c>
      <c r="L25" s="5"/>
    </row>
    <row r="29" spans="1:12" x14ac:dyDescent="0.3">
      <c r="B29" t="s">
        <v>5</v>
      </c>
      <c r="C29" t="s">
        <v>7</v>
      </c>
      <c r="D29" t="s">
        <v>14</v>
      </c>
      <c r="E29" t="s">
        <v>15</v>
      </c>
      <c r="H29" t="s">
        <v>8</v>
      </c>
      <c r="I29" t="s">
        <v>9</v>
      </c>
      <c r="J29" t="s">
        <v>14</v>
      </c>
      <c r="K29" t="s">
        <v>15</v>
      </c>
      <c r="L29" s="5" t="s">
        <v>22</v>
      </c>
    </row>
    <row r="30" spans="1:12" x14ac:dyDescent="0.3">
      <c r="A30" s="6" t="s">
        <v>19</v>
      </c>
      <c r="B30">
        <v>6.5</v>
      </c>
      <c r="C30">
        <v>6.4</v>
      </c>
      <c r="D30">
        <f>ABS(B30-C30)</f>
        <v>9.9999999999999645E-2</v>
      </c>
      <c r="E30" s="1">
        <f>ABS((B30-C30)/C30)*100</f>
        <v>1.5624999999999944</v>
      </c>
      <c r="G30" s="6" t="s">
        <v>21</v>
      </c>
      <c r="H30">
        <v>29</v>
      </c>
      <c r="I30">
        <v>30</v>
      </c>
      <c r="J30">
        <f>ABS(H30-I30)</f>
        <v>1</v>
      </c>
      <c r="K30" s="1">
        <f>ABS((H30-I30)/I30)*100</f>
        <v>3.3333333333333335</v>
      </c>
      <c r="L30" s="5"/>
    </row>
    <row r="31" spans="1:12" x14ac:dyDescent="0.3">
      <c r="A31" s="6"/>
      <c r="B31">
        <v>6.6</v>
      </c>
      <c r="C31">
        <v>6.6</v>
      </c>
      <c r="D31">
        <f t="shared" ref="D31:D38" si="4">ABS(B31-C31)</f>
        <v>0</v>
      </c>
      <c r="E31" s="1">
        <f t="shared" ref="E31:E38" si="5">ABS((B31-C31)/C31)*100</f>
        <v>0</v>
      </c>
      <c r="G31" s="6"/>
      <c r="H31">
        <v>24</v>
      </c>
      <c r="I31">
        <v>26</v>
      </c>
      <c r="J31">
        <f>ABS(H31-I31)</f>
        <v>2</v>
      </c>
      <c r="K31" s="1">
        <f t="shared" ref="K31:K37" si="6">ABS((H31-I31)/I31)*100</f>
        <v>7.6923076923076925</v>
      </c>
      <c r="L31" s="5"/>
    </row>
    <row r="32" spans="1:12" x14ac:dyDescent="0.3">
      <c r="A32" s="6"/>
      <c r="B32">
        <v>7</v>
      </c>
      <c r="C32">
        <v>6.6</v>
      </c>
      <c r="D32">
        <f t="shared" si="4"/>
        <v>0.40000000000000036</v>
      </c>
      <c r="E32" s="1">
        <f t="shared" si="5"/>
        <v>6.0606060606060659</v>
      </c>
      <c r="G32" s="6"/>
      <c r="H32">
        <v>32</v>
      </c>
      <c r="I32">
        <v>35</v>
      </c>
      <c r="J32">
        <f t="shared" ref="J32:J38" si="7">ABS(H32-I32)</f>
        <v>3</v>
      </c>
      <c r="K32" s="1">
        <f t="shared" si="6"/>
        <v>8.5714285714285712</v>
      </c>
      <c r="L32" s="5"/>
    </row>
    <row r="33" spans="1:12" x14ac:dyDescent="0.3">
      <c r="A33" s="6"/>
      <c r="B33">
        <v>6.5</v>
      </c>
      <c r="C33">
        <v>6.3</v>
      </c>
      <c r="D33">
        <f t="shared" si="4"/>
        <v>0.20000000000000018</v>
      </c>
      <c r="E33" s="1">
        <f t="shared" si="5"/>
        <v>3.1746031746031771</v>
      </c>
      <c r="G33" s="6"/>
      <c r="H33">
        <v>25</v>
      </c>
      <c r="I33">
        <v>27</v>
      </c>
      <c r="J33">
        <f t="shared" si="7"/>
        <v>2</v>
      </c>
      <c r="K33" s="1">
        <f t="shared" si="6"/>
        <v>7.4074074074074066</v>
      </c>
      <c r="L33" s="5"/>
    </row>
    <row r="34" spans="1:12" x14ac:dyDescent="0.3">
      <c r="A34" s="6"/>
      <c r="B34">
        <v>6.4</v>
      </c>
      <c r="C34">
        <v>6.1</v>
      </c>
      <c r="D34">
        <f t="shared" si="4"/>
        <v>0.30000000000000071</v>
      </c>
      <c r="E34" s="1">
        <f t="shared" si="5"/>
        <v>4.9180327868852576</v>
      </c>
      <c r="G34" s="6"/>
      <c r="H34">
        <v>26</v>
      </c>
      <c r="I34">
        <v>24</v>
      </c>
      <c r="J34">
        <f t="shared" si="7"/>
        <v>2</v>
      </c>
      <c r="K34" s="1">
        <f t="shared" si="6"/>
        <v>8.3333333333333321</v>
      </c>
      <c r="L34" s="5"/>
    </row>
    <row r="35" spans="1:12" x14ac:dyDescent="0.3">
      <c r="A35" s="6"/>
      <c r="B35">
        <v>7.1</v>
      </c>
      <c r="C35">
        <v>6.6</v>
      </c>
      <c r="D35">
        <f t="shared" si="4"/>
        <v>0.5</v>
      </c>
      <c r="E35" s="1">
        <f t="shared" si="5"/>
        <v>7.5757575757575761</v>
      </c>
      <c r="G35" s="6"/>
      <c r="H35">
        <v>22</v>
      </c>
      <c r="I35">
        <v>22</v>
      </c>
      <c r="J35">
        <f t="shared" si="7"/>
        <v>0</v>
      </c>
      <c r="K35" s="1">
        <f t="shared" si="6"/>
        <v>0</v>
      </c>
      <c r="L35" s="5"/>
    </row>
    <row r="36" spans="1:12" x14ac:dyDescent="0.3">
      <c r="A36" s="6"/>
      <c r="B36">
        <v>6.6</v>
      </c>
      <c r="C36">
        <v>6.3</v>
      </c>
      <c r="D36">
        <f t="shared" si="4"/>
        <v>0.29999999999999982</v>
      </c>
      <c r="E36" s="1">
        <f t="shared" si="5"/>
        <v>4.7619047619047592</v>
      </c>
      <c r="G36" s="6"/>
      <c r="H36">
        <v>26</v>
      </c>
      <c r="I36">
        <v>27</v>
      </c>
      <c r="J36">
        <f t="shared" si="7"/>
        <v>1</v>
      </c>
      <c r="K36" s="1">
        <f t="shared" si="6"/>
        <v>3.7037037037037033</v>
      </c>
      <c r="L36" s="5"/>
    </row>
    <row r="37" spans="1:12" x14ac:dyDescent="0.3">
      <c r="A37" s="6"/>
      <c r="B37">
        <v>6.6</v>
      </c>
      <c r="C37">
        <v>6.2</v>
      </c>
      <c r="D37">
        <f t="shared" si="4"/>
        <v>0.39999999999999947</v>
      </c>
      <c r="E37" s="1">
        <f t="shared" si="5"/>
        <v>6.4516129032257981</v>
      </c>
      <c r="G37" s="6"/>
      <c r="H37">
        <v>21</v>
      </c>
      <c r="I37">
        <v>21</v>
      </c>
      <c r="J37">
        <f t="shared" si="7"/>
        <v>0</v>
      </c>
      <c r="K37" s="1">
        <f t="shared" si="6"/>
        <v>0</v>
      </c>
      <c r="L37" s="5"/>
    </row>
    <row r="38" spans="1:12" x14ac:dyDescent="0.3">
      <c r="A38" s="6"/>
      <c r="B38">
        <v>6.2</v>
      </c>
      <c r="C38">
        <v>6.5</v>
      </c>
      <c r="D38">
        <f t="shared" si="4"/>
        <v>0.29999999999999982</v>
      </c>
      <c r="E38" s="1">
        <f t="shared" si="5"/>
        <v>4.6153846153846132</v>
      </c>
      <c r="G38" s="6"/>
      <c r="H38">
        <v>32</v>
      </c>
      <c r="I38">
        <v>34</v>
      </c>
      <c r="J38">
        <f t="shared" si="7"/>
        <v>2</v>
      </c>
      <c r="K38" s="1">
        <f>ABS((H38-I38)/I38)*100</f>
        <v>5.8823529411764701</v>
      </c>
      <c r="L38" s="5"/>
    </row>
    <row r="39" spans="1:12" x14ac:dyDescent="0.3">
      <c r="A39" s="6"/>
      <c r="G39" s="6"/>
      <c r="L39" s="5"/>
    </row>
    <row r="40" spans="1:12" x14ac:dyDescent="0.3">
      <c r="L40" s="5"/>
    </row>
    <row r="41" spans="1:12" x14ac:dyDescent="0.3">
      <c r="B41" t="s">
        <v>16</v>
      </c>
      <c r="C41" s="1">
        <f>AVERAGE(E30:E38)</f>
        <v>4.3467113198185832</v>
      </c>
      <c r="H41" t="s">
        <v>16</v>
      </c>
      <c r="I41" s="1">
        <f>AVERAGE(K30:K38)</f>
        <v>4.9915407758545012</v>
      </c>
      <c r="L41" s="5"/>
    </row>
    <row r="42" spans="1:12" x14ac:dyDescent="0.3">
      <c r="B42" t="s">
        <v>17</v>
      </c>
      <c r="C42" s="1">
        <f>100-AVERAGE(E30:E38)</f>
        <v>95.653288680181419</v>
      </c>
      <c r="H42" t="s">
        <v>17</v>
      </c>
      <c r="I42" s="1">
        <f>100-AVERAGE(K30:K38)</f>
        <v>95.008459224145497</v>
      </c>
      <c r="L42" s="5"/>
    </row>
  </sheetData>
  <mergeCells count="11">
    <mergeCell ref="Q4:Q5"/>
    <mergeCell ref="N1:O1"/>
    <mergeCell ref="A13:A22"/>
    <mergeCell ref="G13:G22"/>
    <mergeCell ref="A30:A39"/>
    <mergeCell ref="G30:G39"/>
    <mergeCell ref="I1:K1"/>
    <mergeCell ref="K2:L2"/>
    <mergeCell ref="H2:I2"/>
    <mergeCell ref="L11:L25"/>
    <mergeCell ref="L29:L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My ASUS</cp:lastModifiedBy>
  <dcterms:created xsi:type="dcterms:W3CDTF">2026-07-02T14:49:44Z</dcterms:created>
  <dcterms:modified xsi:type="dcterms:W3CDTF">2026-10-20T02:31:57Z</dcterms:modified>
</cp:coreProperties>
</file>